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Series pr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<sst xmlns="http://schemas.openxmlformats.org/spreadsheetml/2006/main" count="227" uniqueCount="151">
  <si>
    <t xml:space="preserve">edX XSeries programs — prices &amp; discounts (complete catalog, 52 programs)</t>
  </si>
  <si>
    <t xml:space="preserve">Source: crawl of every edx.org/xseries/ program page, Aug 12 2026 (GitHub Actions run 31626596885 on matthewkang858/random-cuisine-picker). Bundle price = page JSON-LD offer; list price = sum of the component courses' verified certificates as shown on the page. USD.</t>
  </si>
  <si>
    <t xml:space="preserve">Program</t>
  </si>
  <si>
    <t xml:space="preserve">Partner</t>
  </si>
  <si>
    <t xml:space="preserve">Courses</t>
  </si>
  <si>
    <t xml:space="preserve">List price ($)</t>
  </si>
  <si>
    <t xml:space="preserve">Bundle price ($)</t>
  </si>
  <si>
    <t xml:space="preserve">Discount</t>
  </si>
  <si>
    <t xml:space="preserve">Pricing note</t>
  </si>
  <si>
    <t xml:space="preserve">URL</t>
  </si>
  <si>
    <t xml:space="preserve">Business Principles Entrepreneurial Thought</t>
  </si>
  <si>
    <t xml:space="preserve">Babson College</t>
  </si>
  <si>
    <t xml:space="preserve">standard 10% bundle discount</t>
  </si>
  <si>
    <t xml:space="preserve">https://www.edx.org/xseries/babson-college-business-principles-entrepreneurial-thought</t>
  </si>
  <si>
    <t xml:space="preserve">Introduction Developmental Social</t>
  </si>
  <si>
    <t xml:space="preserve">University of Queensland</t>
  </si>
  <si>
    <t xml:space="preserve">no separate list price shown</t>
  </si>
  <si>
    <t xml:space="preserve">https://www.edx.org/xseries/the-university-of-queensland-introduction-developmental-social</t>
  </si>
  <si>
    <t xml:space="preserve">Healthcare Risk Management Planning Response And Recovery</t>
  </si>
  <si>
    <t xml:space="preserve">Stanford Online</t>
  </si>
  <si>
    <t xml:space="preserve">https://www.edx.org/xseries/stanfordonline-healthcare-risk-management-planning-response-and-recovery</t>
  </si>
  <si>
    <t xml:space="preserve">Health Communication Strategies For Impact And Success</t>
  </si>
  <si>
    <t xml:space="preserve">https://www.edx.org/xseries/stanford-online-health-communication-strategies-for-impact-and-success</t>
  </si>
  <si>
    <t xml:space="preserve">Preventing Heart Disease</t>
  </si>
  <si>
    <t xml:space="preserve">https://www.edx.org/xseries/stanfordonline-preventing-heart-disease</t>
  </si>
  <si>
    <t xml:space="preserve">Telehealth Strategy Implementation And Optimization</t>
  </si>
  <si>
    <t xml:space="preserve">https://www.edx.org/xseries/stanfordonline-telehealth-strategy-implementation-and-optimization</t>
  </si>
  <si>
    <t xml:space="preserve">China Modern World</t>
  </si>
  <si>
    <t xml:space="preserve">Harvard (HarvardX)</t>
  </si>
  <si>
    <t xml:space="preserve">https://www.edx.org/xseries/harvard-university-china-modern-world</t>
  </si>
  <si>
    <t xml:space="preserve">China Civilization Empire</t>
  </si>
  <si>
    <t xml:space="preserve">https://www.edx.org/xseries/harvard-university-china-civilization-empire</t>
  </si>
  <si>
    <t xml:space="preserve">Fundamentals Computer Science</t>
  </si>
  <si>
    <t xml:space="preserve">IIT Bombay</t>
  </si>
  <si>
    <t xml:space="preserve">https://www.edx.org/xseries/iitbombay-fundamentals-computer-science</t>
  </si>
  <si>
    <t xml:space="preserve">From Digital Technologies To Social Media</t>
  </si>
  <si>
    <t xml:space="preserve">Curtin University (CurtinX)</t>
  </si>
  <si>
    <t xml:space="preserve">https://www.edx.org/xseries/curtinx-from-digital-technologies-to-social-media</t>
  </si>
  <si>
    <t xml:space="preserve">Shakespeares Life Work And Characters</t>
  </si>
  <si>
    <t xml:space="preserve">https://www.edx.org/xseries/harvardx-shakespeares-life-work-and-characters</t>
  </si>
  <si>
    <t xml:space="preserve">Us Government</t>
  </si>
  <si>
    <t xml:space="preserve">https://www.edx.org/xseries/harvardx-us-government</t>
  </si>
  <si>
    <t xml:space="preserve">Mathtrackx</t>
  </si>
  <si>
    <t xml:space="preserve">Univ. of Adelaide (AdelaideX)</t>
  </si>
  <si>
    <t xml:space="preserve">https://www.edx.org/xseries/adelaidex-mathtrackx</t>
  </si>
  <si>
    <t xml:space="preserve">World Religions Through Scriptures</t>
  </si>
  <si>
    <t xml:space="preserve">50% off — active promo</t>
  </si>
  <si>
    <t xml:space="preserve">https://www.edx.org/xseries/harvardx-world-religions-through-scriptures</t>
  </si>
  <si>
    <t xml:space="preserve">Circuits And Electronics</t>
  </si>
  <si>
    <t xml:space="preserve">MIT (MITx)</t>
  </si>
  <si>
    <t xml:space="preserve">https://www.edx.org/xseries/mitx-circuits-and-electronics</t>
  </si>
  <si>
    <t xml:space="preserve">Resilient Energy Systems For Sustainable Communities</t>
  </si>
  <si>
    <t xml:space="preserve">Univ. of Alaska (AlaskaX)</t>
  </si>
  <si>
    <t xml:space="preserve">https://www.edx.org/xseries/alaskax-resilient-energy-systems-for-sustainable-communities</t>
  </si>
  <si>
    <t xml:space="preserve">Diversity Equity And Inclusion In Healthcare</t>
  </si>
  <si>
    <t xml:space="preserve">https://www.edx.org/xseries/stanfordonline-diversity-equity-and-inclusion-in-healthcare</t>
  </si>
  <si>
    <t xml:space="preserve">Four Facets Of Contemporary Japanese Architecture</t>
  </si>
  <si>
    <t xml:space="preserve">Univ. of Tokyo (UTokyoX)</t>
  </si>
  <si>
    <t xml:space="preserve">https://www.edx.org/xseries/utokyox-four-facets-of-contemporary-japanese-architecture</t>
  </si>
  <si>
    <t xml:space="preserve">Introduction To Level Design</t>
  </si>
  <si>
    <t xml:space="preserve">LaSalle College (LaSalleX)</t>
  </si>
  <si>
    <t xml:space="preserve">https://www.edx.org/xseries/lasallex-introduction-to-level-design</t>
  </si>
  <si>
    <t xml:space="preserve">Water Management</t>
  </si>
  <si>
    <t xml:space="preserve">TU Delft (DelftX)</t>
  </si>
  <si>
    <t xml:space="preserve">https://www.edx.org/xseries/delft-university-of-technology-water-management</t>
  </si>
  <si>
    <t xml:space="preserve">Power Searching With Google</t>
  </si>
  <si>
    <t xml:space="preserve">Google</t>
  </si>
  <si>
    <t xml:space="preserve">https://www.edx.org/xseries/google-power-searching-with-google</t>
  </si>
  <si>
    <t xml:space="preserve">Intellectual Disability Healthcare</t>
  </si>
  <si>
    <t xml:space="preserve">https://www.edx.org/xseries/the-university-of-queensland-intellectual-disability-healthcare</t>
  </si>
  <si>
    <t xml:space="preserve">Classical Works</t>
  </si>
  <si>
    <t xml:space="preserve">https://www.edx.org/xseries/harvardx-classical-works</t>
  </si>
  <si>
    <t xml:space="preserve">Introduction To Game Design</t>
  </si>
  <si>
    <t xml:space="preserve">https://www.edx.org/xseries/lasallex-introduction-to-game-design</t>
  </si>
  <si>
    <t xml:space="preserve">Steps In Japanese For Beginners 3</t>
  </si>
  <si>
    <t xml:space="preserve">Waseda University (WasedaX)</t>
  </si>
  <si>
    <t xml:space="preserve">https://www.edx.org/xseries/wasedax-steps-in-japanese-for-beginners-3</t>
  </si>
  <si>
    <t xml:space="preserve">Steps In Japanese For Beginners 2</t>
  </si>
  <si>
    <t xml:space="preserve">https://www.edx.org/xseries/wasedax-steps-in-japanese-for-beginners-2</t>
  </si>
  <si>
    <t xml:space="preserve">Starting Your Career With Aws Cloud</t>
  </si>
  <si>
    <t xml:space="preserve">Amazon Web Services</t>
  </si>
  <si>
    <t xml:space="preserve">https://www.edx.org/xseries/aws-starting-your-career-with-aws-cloud</t>
  </si>
  <si>
    <t xml:space="preserve">Building Serverless Applications On Aws</t>
  </si>
  <si>
    <t xml:space="preserve">https://www.edx.org/xseries/aws-building-serverless-applications-on-aws</t>
  </si>
  <si>
    <t xml:space="preserve">Introduction To Sql Databases</t>
  </si>
  <si>
    <t xml:space="preserve">https://www.edx.org/xseries/stanfordonline-introduction-to-sql-databases</t>
  </si>
  <si>
    <t xml:space="preserve">Steps In Japanese For Beginners 1</t>
  </si>
  <si>
    <t xml:space="preserve">https://www.edx.org/xseries/wasedax-steps-in-japanese-for-beginners-1</t>
  </si>
  <si>
    <t xml:space="preserve">Chinese Culture Tradition Transformation And Interaction</t>
  </si>
  <si>
    <t xml:space="preserve">Hong Kong PolyU (HKPolyUx)</t>
  </si>
  <si>
    <t xml:space="preserve">https://www.edx.org/xseries/hkpolyux-chinese-culture-tradition-transformation-and-interaction</t>
  </si>
  <si>
    <t xml:space="preserve">Prediction</t>
  </si>
  <si>
    <t xml:space="preserve">https://www.edx.org/xseries/harvardx-prediction</t>
  </si>
  <si>
    <t xml:space="preserve">Introduction To Political Science</t>
  </si>
  <si>
    <t xml:space="preserve">Univ. of Naples Federico II (FedericaX)</t>
  </si>
  <si>
    <t xml:space="preserve">https://www.edx.org/xseries/federicax-introduction-to-political-science</t>
  </si>
  <si>
    <t xml:space="preserve">Django For Everybody</t>
  </si>
  <si>
    <t xml:space="preserve">Univ. of Michigan (MichiganX)</t>
  </si>
  <si>
    <t xml:space="preserve">https://www.edx.org/xseries/michiganx-django-for-everybody</t>
  </si>
  <si>
    <t xml:space="preserve">Women Have Always Worked</t>
  </si>
  <si>
    <t xml:space="preserve">Columbia (ColumbiaX)</t>
  </si>
  <si>
    <t xml:space="preserve">https://www.edx.org/xseries/columbiax-women-have-always-worked</t>
  </si>
  <si>
    <t xml:space="preserve">Introduccion A La Ciencia Politica Ipsamooc</t>
  </si>
  <si>
    <t xml:space="preserve">https://www.edx.org/xseries/federicax-introduccion-a-la-ciencia-politica-ipsamooc</t>
  </si>
  <si>
    <t xml:space="preserve">Grabacion Produccion Musical</t>
  </si>
  <si>
    <t xml:space="preserve">Berklee College of Music (BerkleeX)</t>
  </si>
  <si>
    <t xml:space="preserve">https://www.edx.org/xseries/berkleex-grabacion-produccion-musical</t>
  </si>
  <si>
    <t xml:space="preserve">Berklee Music Business Industry Essentials</t>
  </si>
  <si>
    <t xml:space="preserve">https://www.edx.org/xseries/berkleex-berklee-music-business-industry-essentials</t>
  </si>
  <si>
    <t xml:space="preserve">Fundamentos De Química</t>
  </si>
  <si>
    <t xml:space="preserve">UPV Valencia (UPValenciaX)</t>
  </si>
  <si>
    <t xml:space="preserve">https://www.edx.org/xseries/upvalenciax-fundamentos-de-qu%C3%ADmica</t>
  </si>
  <si>
    <t xml:space="preserve">Genero Una Mirada Participativa En Entornos Ecologicos Y En La Vida Digital</t>
  </si>
  <si>
    <t xml:space="preserve">Univ. Javeriana (JaverianaX)</t>
  </si>
  <si>
    <t xml:space="preserve">https://www.edx.org/xseries/javerianax-genero-una-mirada-participativa-en-entornos-ecologicos-y-en-la-vida-digital</t>
  </si>
  <si>
    <t xml:space="preserve">Civil War Reconstruction</t>
  </si>
  <si>
    <t xml:space="preserve">https://www.edx.org/xseries/columbia-university-civil-war-reconstruction</t>
  </si>
  <si>
    <t xml:space="preserve">Historias De La Creatividad En El Sur Global Arte Arquitectura Y Diseno</t>
  </si>
  <si>
    <t xml:space="preserve">Univ. del Rosario (URosarioX)</t>
  </si>
  <si>
    <t xml:space="preserve">https://www.edx.org/xseries/urosariox-historias-de-la-creatividad-en-el-sur-global-arte-arquitectura-y-diseno</t>
  </si>
  <si>
    <t xml:space="preserve">De La Aritmetica Al Algebra Elemental</t>
  </si>
  <si>
    <t xml:space="preserve">Univ. Galileo (GalileoX)</t>
  </si>
  <si>
    <t xml:space="preserve">https://www.edx.org/xseries/galileox-de-la-aritmetica-al-algebra-elemental</t>
  </si>
  <si>
    <t xml:space="preserve">Veteran Transition</t>
  </si>
  <si>
    <t xml:space="preserve">https://www.edx.org/xseries/columbiax-veteran-transition</t>
  </si>
  <si>
    <t xml:space="preserve">Diseno De Prototipos Digitales Para Proyectos Sociales</t>
  </si>
  <si>
    <t xml:space="preserve">https://www.edx.org/xseries/urosariox-diseno-de-prototipos-digitales-para-proyectos-sociales</t>
  </si>
  <si>
    <t xml:space="preserve">Lectura De Imagenes Historicas</t>
  </si>
  <si>
    <t xml:space="preserve">Univ. Autónoma de Madrid (UAMx)</t>
  </si>
  <si>
    <t xml:space="preserve">https://www.edx.org/xseries/uamx-lectura-de-imagenes-historicas</t>
  </si>
  <si>
    <t xml:space="preserve">Griego Clasico</t>
  </si>
  <si>
    <t xml:space="preserve">https://www.edx.org/xseries/uamx-griego-clasico</t>
  </si>
  <si>
    <t xml:space="preserve">Bases Matematicas Para Estudiar</t>
  </si>
  <si>
    <t xml:space="preserve">https://www.edx.org/xseries/universitat-politecnica-de-valencia-bases-matematicas-para-estudiar</t>
  </si>
  <si>
    <t xml:space="preserve">Fundamentos De Quimica Organica</t>
  </si>
  <si>
    <t xml:space="preserve">https://www.edx.org/xseries/uamx-fundamentos-de-quimica-organica</t>
  </si>
  <si>
    <t xml:space="preserve">Pedagogias Radicales Emergentes Sobre La Vida</t>
  </si>
  <si>
    <t xml:space="preserve">https://www.edx.org/xseries/uamx-pedagogias-radicales-emergentes-sobre-la-vida</t>
  </si>
  <si>
    <t xml:space="preserve">Fundamentos De Fisica Para Ingenieria</t>
  </si>
  <si>
    <t xml:space="preserve">https://www.edx.org/xseries/upvalenciax-fundamentos-de-fisica-para-ingenieria</t>
  </si>
  <si>
    <t xml:space="preserve">La Espana Del Siglo De Oro A Traves De Cervantes</t>
  </si>
  <si>
    <t xml:space="preserve">https://www.edx.org/xseries/uamx-la-espana-del-siglo-de-oro-a-traves-de-cervantes</t>
  </si>
  <si>
    <t xml:space="preserve">Summary</t>
  </si>
  <si>
    <t xml:space="preserve">Programs</t>
  </si>
  <si>
    <t xml:space="preserve">Min bundle price</t>
  </si>
  <si>
    <t xml:space="preserve">25th percentile</t>
  </si>
  <si>
    <t xml:space="preserve">Median bundle price</t>
  </si>
  <si>
    <t xml:space="preserve">75th percentile</t>
  </si>
  <si>
    <t xml:space="preserve">Max bundle price</t>
  </si>
  <si>
    <t xml:space="preserve">Average discount</t>
  </si>
  <si>
    <t xml:space="preserve">Notes: the standard XSeries discount is 10% off buying the courses' verified certificates individually. Two HarvardX programs (World Religions Through Scriptures, Classical Works) were at 50% off on the crawl date — promo, not policy. edX sitewide promo codes (15–30%) can stack at checkout; financial assistance (80% off) applies to individual verified certificates, generally not program bundles.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</si>
</sst>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%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3F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dx.org/xseries/babson-college-business-principles-entrepreneurial-thought" TargetMode="External"/><Relationship Id="rId2" Type="http://schemas.openxmlformats.org/officeDocument/2006/relationships/hyperlink" Target="https://www.edx.org/xseries/the-university-of-queensland-introduction-developmental-social" TargetMode="External"/><Relationship Id="rId3" Type="http://schemas.openxmlformats.org/officeDocument/2006/relationships/hyperlink" Target="https://www.edx.org/xseries/stanfordonline-healthcare-risk-management-planning-response-and-recovery" TargetMode="External"/><Relationship Id="rId4" Type="http://schemas.openxmlformats.org/officeDocument/2006/relationships/hyperlink" Target="https://www.edx.org/xseries/stanford-online-health-communication-strategies-for-impact-and-success" TargetMode="External"/><Relationship Id="rId5" Type="http://schemas.openxmlformats.org/officeDocument/2006/relationships/hyperlink" Target="https://www.edx.org/xseries/stanfordonline-preventing-heart-disease" TargetMode="External"/><Relationship Id="rId6" Type="http://schemas.openxmlformats.org/officeDocument/2006/relationships/hyperlink" Target="https://www.edx.org/xseries/stanfordonline-telehealth-strategy-implementation-and-optimization" TargetMode="External"/><Relationship Id="rId7" Type="http://schemas.openxmlformats.org/officeDocument/2006/relationships/hyperlink" Target="https://www.edx.org/xseries/harvard-university-china-modern-world" TargetMode="External"/><Relationship Id="rId8" Type="http://schemas.openxmlformats.org/officeDocument/2006/relationships/hyperlink" Target="https://www.edx.org/xseries/harvard-university-china-civilization-empire" TargetMode="External"/><Relationship Id="rId9" Type="http://schemas.openxmlformats.org/officeDocument/2006/relationships/hyperlink" Target="https://www.edx.org/xseries/iitbombay-fundamentals-computer-science" TargetMode="External"/><Relationship Id="rId10" Type="http://schemas.openxmlformats.org/officeDocument/2006/relationships/hyperlink" Target="https://www.edx.org/xseries/curtinx-from-digital-technologies-to-social-media" TargetMode="External"/><Relationship Id="rId11" Type="http://schemas.openxmlformats.org/officeDocument/2006/relationships/hyperlink" Target="https://www.edx.org/xseries/harvardx-shakespeares-life-work-and-characters" TargetMode="External"/><Relationship Id="rId12" Type="http://schemas.openxmlformats.org/officeDocument/2006/relationships/hyperlink" Target="https://www.edx.org/xseries/harvardx-us-government" TargetMode="External"/><Relationship Id="rId13" Type="http://schemas.openxmlformats.org/officeDocument/2006/relationships/hyperlink" Target="https://www.edx.org/xseries/adelaidex-mathtrackx" TargetMode="External"/><Relationship Id="rId14" Type="http://schemas.openxmlformats.org/officeDocument/2006/relationships/hyperlink" Target="https://www.edx.org/xseries/harvardx-world-religions-through-scriptures" TargetMode="External"/><Relationship Id="rId15" Type="http://schemas.openxmlformats.org/officeDocument/2006/relationships/hyperlink" Target="https://www.edx.org/xseries/mitx-circuits-and-electronics" TargetMode="External"/><Relationship Id="rId16" Type="http://schemas.openxmlformats.org/officeDocument/2006/relationships/hyperlink" Target="https://www.edx.org/xseries/alaskax-resilient-energy-systems-for-sustainable-communities" TargetMode="External"/><Relationship Id="rId17" Type="http://schemas.openxmlformats.org/officeDocument/2006/relationships/hyperlink" Target="https://www.edx.org/xseries/stanfordonline-diversity-equity-and-inclusion-in-healthcare" TargetMode="External"/><Relationship Id="rId18" Type="http://schemas.openxmlformats.org/officeDocument/2006/relationships/hyperlink" Target="https://www.edx.org/xseries/utokyox-four-facets-of-contemporary-japanese-architecture" TargetMode="External"/><Relationship Id="rId19" Type="http://schemas.openxmlformats.org/officeDocument/2006/relationships/hyperlink" Target="https://www.edx.org/xseries/lasallex-introduction-to-level-design" TargetMode="External"/><Relationship Id="rId20" Type="http://schemas.openxmlformats.org/officeDocument/2006/relationships/hyperlink" Target="https://www.edx.org/xseries/delft-university-of-technology-water-management" TargetMode="External"/><Relationship Id="rId21" Type="http://schemas.openxmlformats.org/officeDocument/2006/relationships/hyperlink" Target="https://www.edx.org/xseries/google-power-searching-with-google" TargetMode="External"/><Relationship Id="rId22" Type="http://schemas.openxmlformats.org/officeDocument/2006/relationships/hyperlink" Target="https://www.edx.org/xseries/the-university-of-queensland-intellectual-disability-healthcare" TargetMode="External"/><Relationship Id="rId23" Type="http://schemas.openxmlformats.org/officeDocument/2006/relationships/hyperlink" Target="https://www.edx.org/xseries/harvardx-classical-works" TargetMode="External"/><Relationship Id="rId24" Type="http://schemas.openxmlformats.org/officeDocument/2006/relationships/hyperlink" Target="https://www.edx.org/xseries/lasallex-introduction-to-game-design" TargetMode="External"/><Relationship Id="rId25" Type="http://schemas.openxmlformats.org/officeDocument/2006/relationships/hyperlink" Target="https://www.edx.org/xseries/wasedax-steps-in-japanese-for-beginners-3" TargetMode="External"/><Relationship Id="rId26" Type="http://schemas.openxmlformats.org/officeDocument/2006/relationships/hyperlink" Target="https://www.edx.org/xseries/wasedax-steps-in-japanese-for-beginners-2" TargetMode="External"/><Relationship Id="rId27" Type="http://schemas.openxmlformats.org/officeDocument/2006/relationships/hyperlink" Target="https://www.edx.org/xseries/aws-starting-your-career-with-aws-cloud" TargetMode="External"/><Relationship Id="rId28" Type="http://schemas.openxmlformats.org/officeDocument/2006/relationships/hyperlink" Target="https://www.edx.org/xseries/aws-building-serverless-applications-on-aws" TargetMode="External"/><Relationship Id="rId29" Type="http://schemas.openxmlformats.org/officeDocument/2006/relationships/hyperlink" Target="https://www.edx.org/xseries/stanfordonline-introduction-to-sql-databases" TargetMode="External"/><Relationship Id="rId30" Type="http://schemas.openxmlformats.org/officeDocument/2006/relationships/hyperlink" Target="https://www.edx.org/xseries/wasedax-steps-in-japanese-for-beginners-1" TargetMode="External"/><Relationship Id="rId31" Type="http://schemas.openxmlformats.org/officeDocument/2006/relationships/hyperlink" Target="https://www.edx.org/xseries/hkpolyux-chinese-culture-tradition-transformation-and-interaction" TargetMode="External"/><Relationship Id="rId32" Type="http://schemas.openxmlformats.org/officeDocument/2006/relationships/hyperlink" Target="https://www.edx.org/xseries/harvardx-prediction" TargetMode="External"/><Relationship Id="rId33" Type="http://schemas.openxmlformats.org/officeDocument/2006/relationships/hyperlink" Target="https://www.edx.org/xseries/federicax-introduction-to-political-science" TargetMode="External"/><Relationship Id="rId34" Type="http://schemas.openxmlformats.org/officeDocument/2006/relationships/hyperlink" Target="https://www.edx.org/xseries/michiganx-django-for-everybody" TargetMode="External"/><Relationship Id="rId35" Type="http://schemas.openxmlformats.org/officeDocument/2006/relationships/hyperlink" Target="https://www.edx.org/xseries/columbiax-women-have-always-worked" TargetMode="External"/><Relationship Id="rId36" Type="http://schemas.openxmlformats.org/officeDocument/2006/relationships/hyperlink" Target="https://www.edx.org/xseries/federicax-introduccion-a-la-ciencia-politica-ipsamooc" TargetMode="External"/><Relationship Id="rId37" Type="http://schemas.openxmlformats.org/officeDocument/2006/relationships/hyperlink" Target="https://www.edx.org/xseries/berkleex-grabacion-produccion-musical" TargetMode="External"/><Relationship Id="rId38" Type="http://schemas.openxmlformats.org/officeDocument/2006/relationships/hyperlink" Target="https://www.edx.org/xseries/berkleex-berklee-music-business-industry-essentials" TargetMode="External"/><Relationship Id="rId39" Type="http://schemas.openxmlformats.org/officeDocument/2006/relationships/hyperlink" Target="https://www.edx.org/xseries/upvalenciax-fundamentos-de-qu&#237;mica" TargetMode="External"/><Relationship Id="rId40" Type="http://schemas.openxmlformats.org/officeDocument/2006/relationships/hyperlink" Target="https://www.edx.org/xseries/javerianax-genero-una-mirada-participativa-en-entornos-ecologicos-y-en-la-vida-digital" TargetMode="External"/><Relationship Id="rId41" Type="http://schemas.openxmlformats.org/officeDocument/2006/relationships/hyperlink" Target="https://www.edx.org/xseries/columbia-university-civil-war-reconstruction" TargetMode="External"/><Relationship Id="rId42" Type="http://schemas.openxmlformats.org/officeDocument/2006/relationships/hyperlink" Target="https://www.edx.org/xseries/urosariox-historias-de-la-creatividad-en-el-sur-global-arte-arquitectura-y-diseno" TargetMode="External"/><Relationship Id="rId43" Type="http://schemas.openxmlformats.org/officeDocument/2006/relationships/hyperlink" Target="https://www.edx.org/xseries/galileox-de-la-aritmetica-al-algebra-elemental" TargetMode="External"/><Relationship Id="rId44" Type="http://schemas.openxmlformats.org/officeDocument/2006/relationships/hyperlink" Target="https://www.edx.org/xseries/columbiax-veteran-transition" TargetMode="External"/><Relationship Id="rId45" Type="http://schemas.openxmlformats.org/officeDocument/2006/relationships/hyperlink" Target="https://www.edx.org/xseries/urosariox-diseno-de-prototipos-digitales-para-proyectos-sociales" TargetMode="External"/><Relationship Id="rId46" Type="http://schemas.openxmlformats.org/officeDocument/2006/relationships/hyperlink" Target="https://www.edx.org/xseries/uamx-lectura-de-imagenes-historicas" TargetMode="External"/><Relationship Id="rId47" Type="http://schemas.openxmlformats.org/officeDocument/2006/relationships/hyperlink" Target="https://www.edx.org/xseries/uamx-griego-clasico" TargetMode="External"/><Relationship Id="rId48" Type="http://schemas.openxmlformats.org/officeDocument/2006/relationships/hyperlink" Target="https://www.edx.org/xseries/universitat-politecnica-de-valencia-bases-matematicas-para-estudiar" TargetMode="External"/><Relationship Id="rId49" Type="http://schemas.openxmlformats.org/officeDocument/2006/relationships/hyperlink" Target="https://www.edx.org/xseries/uamx-fundamentos-de-quimica-organica" TargetMode="External"/><Relationship Id="rId50" Type="http://schemas.openxmlformats.org/officeDocument/2006/relationships/hyperlink" Target="https://www.edx.org/xseries/uamx-pedagogias-radicales-emergentes-sobre-la-vida" TargetMode="External"/><Relationship Id="rId51" Type="http://schemas.openxmlformats.org/officeDocument/2006/relationships/hyperlink" Target="https://www.edx.org/xseries/upvalenciax-fundamentos-de-fisica-para-ingenieria" TargetMode="External"/><Relationship Id="rId52" Type="http://schemas.openxmlformats.org/officeDocument/2006/relationships/hyperlink" Target="https://www.edx.org/xseries/uamx-la-espana-del-siglo-de-oro-a-traves-de-cervant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8" min="8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n">
        <v>6</v>
      </c>
      <c r="D5" s="5" t="n">
        <v>1494</v>
      </c>
      <c r="E5" s="5" t="n">
        <v>1344.6</v>
      </c>
      <c r="F5" s="6" t="n">
        <f aca="false">IF(D5=0,"",1-E5/D5)</f>
        <v>0.1</v>
      </c>
      <c r="G5" s="4" t="s">
        <v>12</v>
      </c>
      <c r="H5" s="7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n">
        <v>4</v>
      </c>
      <c r="D6" s="5" t="n">
        <v>996</v>
      </c>
      <c r="E6" s="5" t="n">
        <v>996</v>
      </c>
      <c r="F6" s="6" t="n">
        <f aca="false">IF(D6=0,"",1-E6/D6)</f>
        <v>0</v>
      </c>
      <c r="G6" s="4" t="s">
        <v>16</v>
      </c>
      <c r="H6" s="7" t="s">
        <v>17</v>
      </c>
    </row>
    <row r="7" customFormat="false" ht="15" hidden="false" customHeight="false" outlineLevel="0" collapsed="false">
      <c r="A7" s="4" t="s">
        <v>18</v>
      </c>
      <c r="B7" s="4" t="s">
        <v>19</v>
      </c>
      <c r="C7" s="4" t="n">
        <v>3</v>
      </c>
      <c r="D7" s="5" t="n">
        <v>747</v>
      </c>
      <c r="E7" s="5" t="n">
        <v>672.3</v>
      </c>
      <c r="F7" s="6" t="n">
        <f aca="false">IF(D7=0,"",1-E7/D7)</f>
        <v>0.1</v>
      </c>
      <c r="G7" s="4" t="s">
        <v>12</v>
      </c>
      <c r="H7" s="7" t="s">
        <v>20</v>
      </c>
    </row>
    <row r="8" customFormat="false" ht="15" hidden="false" customHeight="false" outlineLevel="0" collapsed="false">
      <c r="A8" s="4" t="s">
        <v>21</v>
      </c>
      <c r="B8" s="4" t="s">
        <v>19</v>
      </c>
      <c r="C8" s="4" t="n">
        <v>3</v>
      </c>
      <c r="D8" s="5" t="n">
        <v>747</v>
      </c>
      <c r="E8" s="5" t="n">
        <v>672.3</v>
      </c>
      <c r="F8" s="6" t="n">
        <f aca="false">IF(D8=0,"",1-E8/D8)</f>
        <v>0.1</v>
      </c>
      <c r="G8" s="4" t="s">
        <v>12</v>
      </c>
      <c r="H8" s="7" t="s">
        <v>22</v>
      </c>
    </row>
    <row r="9" customFormat="false" ht="15" hidden="false" customHeight="false" outlineLevel="0" collapsed="false">
      <c r="A9" s="4" t="s">
        <v>23</v>
      </c>
      <c r="B9" s="4" t="s">
        <v>19</v>
      </c>
      <c r="C9" s="4" t="n">
        <v>3</v>
      </c>
      <c r="D9" s="5" t="n">
        <v>747</v>
      </c>
      <c r="E9" s="5" t="n">
        <v>672.3</v>
      </c>
      <c r="F9" s="6" t="n">
        <f aca="false">IF(D9=0,"",1-E9/D9)</f>
        <v>0.1</v>
      </c>
      <c r="G9" s="4" t="s">
        <v>12</v>
      </c>
      <c r="H9" s="7" t="s">
        <v>24</v>
      </c>
    </row>
    <row r="10" customFormat="false" ht="15" hidden="false" customHeight="false" outlineLevel="0" collapsed="false">
      <c r="A10" s="4" t="s">
        <v>25</v>
      </c>
      <c r="B10" s="4" t="s">
        <v>19</v>
      </c>
      <c r="C10" s="4" t="n">
        <v>3</v>
      </c>
      <c r="D10" s="5" t="n">
        <v>747</v>
      </c>
      <c r="E10" s="5" t="n">
        <v>672.3</v>
      </c>
      <c r="F10" s="6" t="n">
        <f aca="false">IF(D10=0,"",1-E10/D10)</f>
        <v>0.1</v>
      </c>
      <c r="G10" s="4" t="s">
        <v>12</v>
      </c>
      <c r="H10" s="7" t="s">
        <v>26</v>
      </c>
    </row>
    <row r="11" customFormat="false" ht="15" hidden="false" customHeight="false" outlineLevel="0" collapsed="false">
      <c r="A11" s="4" t="s">
        <v>27</v>
      </c>
      <c r="B11" s="4" t="s">
        <v>28</v>
      </c>
      <c r="C11" s="4" t="n">
        <v>5</v>
      </c>
      <c r="D11" s="5" t="n">
        <v>745</v>
      </c>
      <c r="E11" s="5" t="n">
        <v>670.5</v>
      </c>
      <c r="F11" s="6" t="n">
        <f aca="false">IF(D11=0,"",1-E11/D11)</f>
        <v>0.1</v>
      </c>
      <c r="G11" s="4" t="s">
        <v>12</v>
      </c>
      <c r="H11" s="7" t="s">
        <v>29</v>
      </c>
    </row>
    <row r="12" customFormat="false" ht="15" hidden="false" customHeight="false" outlineLevel="0" collapsed="false">
      <c r="A12" s="4" t="s">
        <v>30</v>
      </c>
      <c r="B12" s="4" t="s">
        <v>28</v>
      </c>
      <c r="C12" s="4" t="n">
        <v>5</v>
      </c>
      <c r="D12" s="5" t="n">
        <v>745</v>
      </c>
      <c r="E12" s="5" t="n">
        <v>670.5</v>
      </c>
      <c r="F12" s="6" t="n">
        <f aca="false">IF(D12=0,"",1-E12/D12)</f>
        <v>0.1</v>
      </c>
      <c r="G12" s="4" t="s">
        <v>12</v>
      </c>
      <c r="H12" s="7" t="s">
        <v>31</v>
      </c>
    </row>
    <row r="13" customFormat="false" ht="15" hidden="false" customHeight="false" outlineLevel="0" collapsed="false">
      <c r="A13" s="4" t="s">
        <v>32</v>
      </c>
      <c r="B13" s="4" t="s">
        <v>33</v>
      </c>
      <c r="C13" s="4" t="n">
        <v>5</v>
      </c>
      <c r="D13" s="5" t="n">
        <v>745</v>
      </c>
      <c r="E13" s="5" t="n">
        <v>670.5</v>
      </c>
      <c r="F13" s="6" t="n">
        <f aca="false">IF(D13=0,"",1-E13/D13)</f>
        <v>0.1</v>
      </c>
      <c r="G13" s="4" t="s">
        <v>12</v>
      </c>
      <c r="H13" s="7" t="s">
        <v>34</v>
      </c>
    </row>
    <row r="14" customFormat="false" ht="15" hidden="false" customHeight="false" outlineLevel="0" collapsed="false">
      <c r="A14" s="4" t="s">
        <v>35</v>
      </c>
      <c r="B14" s="4" t="s">
        <v>36</v>
      </c>
      <c r="C14" s="4" t="n">
        <v>3</v>
      </c>
      <c r="D14" s="5" t="n">
        <v>537</v>
      </c>
      <c r="E14" s="5" t="n">
        <v>537</v>
      </c>
      <c r="F14" s="6" t="n">
        <f aca="false">IF(D14=0,"",1-E14/D14)</f>
        <v>0</v>
      </c>
      <c r="G14" s="4" t="s">
        <v>16</v>
      </c>
      <c r="H14" s="7" t="s">
        <v>37</v>
      </c>
    </row>
    <row r="15" customFormat="false" ht="15" hidden="false" customHeight="false" outlineLevel="0" collapsed="false">
      <c r="A15" s="4" t="s">
        <v>38</v>
      </c>
      <c r="B15" s="4" t="s">
        <v>28</v>
      </c>
      <c r="C15" s="4" t="n">
        <v>4</v>
      </c>
      <c r="D15" s="5" t="n">
        <v>596</v>
      </c>
      <c r="E15" s="5" t="n">
        <v>536.4</v>
      </c>
      <c r="F15" s="6" t="n">
        <f aca="false">IF(D15=0,"",1-E15/D15)</f>
        <v>0.1</v>
      </c>
      <c r="G15" s="4" t="s">
        <v>12</v>
      </c>
      <c r="H15" s="7" t="s">
        <v>39</v>
      </c>
    </row>
    <row r="16" customFormat="false" ht="15" hidden="false" customHeight="false" outlineLevel="0" collapsed="false">
      <c r="A16" s="4" t="s">
        <v>40</v>
      </c>
      <c r="B16" s="4" t="s">
        <v>28</v>
      </c>
      <c r="C16" s="4" t="n">
        <v>4</v>
      </c>
      <c r="D16" s="5" t="n">
        <v>596</v>
      </c>
      <c r="E16" s="5" t="n">
        <v>536.4</v>
      </c>
      <c r="F16" s="6" t="n">
        <f aca="false">IF(D16=0,"",1-E16/D16)</f>
        <v>0.1</v>
      </c>
      <c r="G16" s="4" t="s">
        <v>12</v>
      </c>
      <c r="H16" s="7" t="s">
        <v>41</v>
      </c>
    </row>
    <row r="17" customFormat="false" ht="15" hidden="false" customHeight="false" outlineLevel="0" collapsed="false">
      <c r="A17" s="4" t="s">
        <v>42</v>
      </c>
      <c r="B17" s="4" t="s">
        <v>43</v>
      </c>
      <c r="C17" s="4" t="n">
        <v>6</v>
      </c>
      <c r="D17" s="5" t="n">
        <v>594</v>
      </c>
      <c r="E17" s="5" t="n">
        <v>534.6</v>
      </c>
      <c r="F17" s="6" t="n">
        <f aca="false">IF(D17=0,"",1-E17/D17)</f>
        <v>0.1</v>
      </c>
      <c r="G17" s="4" t="s">
        <v>12</v>
      </c>
      <c r="H17" s="7" t="s">
        <v>44</v>
      </c>
    </row>
    <row r="18" customFormat="false" ht="15" hidden="false" customHeight="false" outlineLevel="0" collapsed="false">
      <c r="A18" s="4" t="s">
        <v>45</v>
      </c>
      <c r="B18" s="4" t="s">
        <v>28</v>
      </c>
      <c r="C18" s="4" t="n">
        <v>7</v>
      </c>
      <c r="D18" s="5" t="n">
        <v>1043</v>
      </c>
      <c r="E18" s="5" t="n">
        <v>521.5</v>
      </c>
      <c r="F18" s="6" t="n">
        <f aca="false">IF(D18=0,"",1-E18/D18)</f>
        <v>0.5</v>
      </c>
      <c r="G18" s="4" t="s">
        <v>46</v>
      </c>
      <c r="H18" s="7" t="s">
        <v>47</v>
      </c>
    </row>
    <row r="19" customFormat="false" ht="15" hidden="false" customHeight="false" outlineLevel="0" collapsed="false">
      <c r="A19" s="4" t="s">
        <v>48</v>
      </c>
      <c r="B19" s="4" t="s">
        <v>49</v>
      </c>
      <c r="C19" s="4" t="n">
        <v>3</v>
      </c>
      <c r="D19" s="5" t="n">
        <v>567</v>
      </c>
      <c r="E19" s="5" t="n">
        <v>510.3</v>
      </c>
      <c r="F19" s="6" t="n">
        <f aca="false">IF(D19=0,"",1-E19/D19)</f>
        <v>0.1</v>
      </c>
      <c r="G19" s="4" t="s">
        <v>12</v>
      </c>
      <c r="H19" s="7" t="s">
        <v>50</v>
      </c>
    </row>
    <row r="20" customFormat="false" ht="15" hidden="false" customHeight="false" outlineLevel="0" collapsed="false">
      <c r="A20" s="4" t="s">
        <v>51</v>
      </c>
      <c r="B20" s="4" t="s">
        <v>52</v>
      </c>
      <c r="C20" s="4" t="n">
        <v>2</v>
      </c>
      <c r="D20" s="5" t="n">
        <v>498</v>
      </c>
      <c r="E20" s="5" t="n">
        <v>448.2</v>
      </c>
      <c r="F20" s="6" t="n">
        <f aca="false">IF(D20=0,"",1-E20/D20)</f>
        <v>0.1</v>
      </c>
      <c r="G20" s="4" t="s">
        <v>12</v>
      </c>
      <c r="H20" s="7" t="s">
        <v>53</v>
      </c>
    </row>
    <row r="21" customFormat="false" ht="15" hidden="false" customHeight="false" outlineLevel="0" collapsed="false">
      <c r="A21" s="4" t="s">
        <v>54</v>
      </c>
      <c r="B21" s="4" t="s">
        <v>19</v>
      </c>
      <c r="C21" s="4" t="n">
        <v>2</v>
      </c>
      <c r="D21" s="5" t="n">
        <v>498</v>
      </c>
      <c r="E21" s="5" t="n">
        <v>448.2</v>
      </c>
      <c r="F21" s="6" t="n">
        <f aca="false">IF(D21=0,"",1-E21/D21)</f>
        <v>0.1</v>
      </c>
      <c r="G21" s="4" t="s">
        <v>12</v>
      </c>
      <c r="H21" s="7" t="s">
        <v>55</v>
      </c>
    </row>
    <row r="22" customFormat="false" ht="15" hidden="false" customHeight="false" outlineLevel="0" collapsed="false">
      <c r="A22" s="4" t="s">
        <v>56</v>
      </c>
      <c r="B22" s="4" t="s">
        <v>57</v>
      </c>
      <c r="C22" s="4" t="n">
        <v>4</v>
      </c>
      <c r="D22" s="5" t="n">
        <v>476</v>
      </c>
      <c r="E22" s="5" t="n">
        <v>428.4</v>
      </c>
      <c r="F22" s="6" t="n">
        <f aca="false">IF(D22=0,"",1-E22/D22)</f>
        <v>0.1</v>
      </c>
      <c r="G22" s="4" t="s">
        <v>12</v>
      </c>
      <c r="H22" s="7" t="s">
        <v>58</v>
      </c>
    </row>
    <row r="23" customFormat="false" ht="15" hidden="false" customHeight="false" outlineLevel="0" collapsed="false">
      <c r="A23" s="4" t="s">
        <v>59</v>
      </c>
      <c r="B23" s="4" t="s">
        <v>60</v>
      </c>
      <c r="C23" s="4" t="n">
        <v>3</v>
      </c>
      <c r="D23" s="5" t="n">
        <v>417</v>
      </c>
      <c r="E23" s="5" t="n">
        <v>417</v>
      </c>
      <c r="F23" s="6" t="n">
        <f aca="false">IF(D23=0,"",1-E23/D23)</f>
        <v>0</v>
      </c>
      <c r="G23" s="4" t="s">
        <v>16</v>
      </c>
      <c r="H23" s="7" t="s">
        <v>61</v>
      </c>
    </row>
    <row r="24" customFormat="false" ht="15" hidden="false" customHeight="false" outlineLevel="0" collapsed="false">
      <c r="A24" s="4" t="s">
        <v>62</v>
      </c>
      <c r="B24" s="4" t="s">
        <v>63</v>
      </c>
      <c r="C24" s="4" t="n">
        <v>3</v>
      </c>
      <c r="D24" s="5" t="n">
        <v>463</v>
      </c>
      <c r="E24" s="5" t="n">
        <v>416.7</v>
      </c>
      <c r="F24" s="6" t="n">
        <f aca="false">IF(D24=0,"",1-E24/D24)</f>
        <v>0.1</v>
      </c>
      <c r="G24" s="4" t="s">
        <v>12</v>
      </c>
      <c r="H24" s="7" t="s">
        <v>64</v>
      </c>
    </row>
    <row r="25" customFormat="false" ht="15" hidden="false" customHeight="false" outlineLevel="0" collapsed="false">
      <c r="A25" s="4" t="s">
        <v>65</v>
      </c>
      <c r="B25" s="4" t="s">
        <v>66</v>
      </c>
      <c r="C25" s="4" t="n">
        <v>2</v>
      </c>
      <c r="D25" s="5" t="n">
        <v>438</v>
      </c>
      <c r="E25" s="5" t="n">
        <v>394.2</v>
      </c>
      <c r="F25" s="6" t="n">
        <f aca="false">IF(D25=0,"",1-E25/D25)</f>
        <v>0.1</v>
      </c>
      <c r="G25" s="4" t="s">
        <v>12</v>
      </c>
      <c r="H25" s="7" t="s">
        <v>67</v>
      </c>
    </row>
    <row r="26" customFormat="false" ht="15" hidden="false" customHeight="false" outlineLevel="0" collapsed="false">
      <c r="A26" s="4" t="s">
        <v>68</v>
      </c>
      <c r="B26" s="4" t="s">
        <v>15</v>
      </c>
      <c r="C26" s="4" t="n">
        <v>3</v>
      </c>
      <c r="D26" s="5" t="n">
        <v>387</v>
      </c>
      <c r="E26" s="5" t="n">
        <v>387</v>
      </c>
      <c r="F26" s="6" t="n">
        <f aca="false">IF(D26=0,"",1-E26/D26)</f>
        <v>0</v>
      </c>
      <c r="G26" s="4" t="s">
        <v>16</v>
      </c>
      <c r="H26" s="7" t="s">
        <v>69</v>
      </c>
    </row>
    <row r="27" customFormat="false" ht="15" hidden="false" customHeight="false" outlineLevel="0" collapsed="false">
      <c r="A27" s="4" t="s">
        <v>70</v>
      </c>
      <c r="B27" s="4" t="s">
        <v>28</v>
      </c>
      <c r="C27" s="4" t="n">
        <v>5</v>
      </c>
      <c r="D27" s="5" t="n">
        <v>745</v>
      </c>
      <c r="E27" s="5" t="n">
        <v>372.5</v>
      </c>
      <c r="F27" s="6" t="n">
        <f aca="false">IF(D27=0,"",1-E27/D27)</f>
        <v>0.5</v>
      </c>
      <c r="G27" s="4" t="s">
        <v>46</v>
      </c>
      <c r="H27" s="7" t="s">
        <v>71</v>
      </c>
    </row>
    <row r="28" customFormat="false" ht="15" hidden="false" customHeight="false" outlineLevel="0" collapsed="false">
      <c r="A28" s="4" t="s">
        <v>72</v>
      </c>
      <c r="B28" s="4" t="s">
        <v>60</v>
      </c>
      <c r="C28" s="4" t="n">
        <v>3</v>
      </c>
      <c r="D28" s="5" t="n">
        <v>357</v>
      </c>
      <c r="E28" s="5" t="n">
        <v>357</v>
      </c>
      <c r="F28" s="6" t="n">
        <f aca="false">IF(D28=0,"",1-E28/D28)</f>
        <v>0</v>
      </c>
      <c r="G28" s="4" t="s">
        <v>16</v>
      </c>
      <c r="H28" s="7" t="s">
        <v>73</v>
      </c>
    </row>
    <row r="29" customFormat="false" ht="15" hidden="false" customHeight="false" outlineLevel="0" collapsed="false">
      <c r="A29" s="4" t="s">
        <v>74</v>
      </c>
      <c r="B29" s="4" t="s">
        <v>75</v>
      </c>
      <c r="C29" s="4" t="n">
        <v>3</v>
      </c>
      <c r="D29" s="5" t="n">
        <v>387</v>
      </c>
      <c r="E29" s="5" t="n">
        <v>348.3</v>
      </c>
      <c r="F29" s="6" t="n">
        <f aca="false">IF(D29=0,"",1-E29/D29)</f>
        <v>0.1</v>
      </c>
      <c r="G29" s="4" t="s">
        <v>12</v>
      </c>
      <c r="H29" s="7" t="s">
        <v>76</v>
      </c>
    </row>
    <row r="30" customFormat="false" ht="15" hidden="false" customHeight="false" outlineLevel="0" collapsed="false">
      <c r="A30" s="4" t="s">
        <v>77</v>
      </c>
      <c r="B30" s="4" t="s">
        <v>75</v>
      </c>
      <c r="C30" s="4" t="n">
        <v>3</v>
      </c>
      <c r="D30" s="5" t="n">
        <v>387</v>
      </c>
      <c r="E30" s="5" t="n">
        <v>348.3</v>
      </c>
      <c r="F30" s="6" t="n">
        <f aca="false">IF(D30=0,"",1-E30/D30)</f>
        <v>0.1</v>
      </c>
      <c r="G30" s="4" t="s">
        <v>12</v>
      </c>
      <c r="H30" s="7" t="s">
        <v>78</v>
      </c>
    </row>
    <row r="31" customFormat="false" ht="15" hidden="false" customHeight="false" outlineLevel="0" collapsed="false">
      <c r="A31" s="4" t="s">
        <v>79</v>
      </c>
      <c r="B31" s="4" t="s">
        <v>80</v>
      </c>
      <c r="C31" s="4" t="n">
        <v>3</v>
      </c>
      <c r="D31" s="5" t="n">
        <v>357</v>
      </c>
      <c r="E31" s="5" t="n">
        <v>321.3</v>
      </c>
      <c r="F31" s="6" t="n">
        <f aca="false">IF(D31=0,"",1-E31/D31)</f>
        <v>0.1</v>
      </c>
      <c r="G31" s="4" t="s">
        <v>12</v>
      </c>
      <c r="H31" s="7" t="s">
        <v>81</v>
      </c>
    </row>
    <row r="32" customFormat="false" ht="15" hidden="false" customHeight="false" outlineLevel="0" collapsed="false">
      <c r="A32" s="4" t="s">
        <v>82</v>
      </c>
      <c r="B32" s="4" t="s">
        <v>80</v>
      </c>
      <c r="C32" s="4" t="n">
        <v>3</v>
      </c>
      <c r="D32" s="5" t="n">
        <v>357</v>
      </c>
      <c r="E32" s="5" t="n">
        <v>321.3</v>
      </c>
      <c r="F32" s="6" t="n">
        <f aca="false">IF(D32=0,"",1-E32/D32)</f>
        <v>0.1</v>
      </c>
      <c r="G32" s="4" t="s">
        <v>12</v>
      </c>
      <c r="H32" s="7" t="s">
        <v>83</v>
      </c>
    </row>
    <row r="33" customFormat="false" ht="15" hidden="false" customHeight="false" outlineLevel="0" collapsed="false">
      <c r="A33" s="4" t="s">
        <v>84</v>
      </c>
      <c r="B33" s="4" t="s">
        <v>19</v>
      </c>
      <c r="C33" s="4" t="n">
        <v>5</v>
      </c>
      <c r="D33" s="5" t="n">
        <v>345</v>
      </c>
      <c r="E33" s="5" t="n">
        <v>310.5</v>
      </c>
      <c r="F33" s="6" t="n">
        <f aca="false">IF(D33=0,"",1-E33/D33)</f>
        <v>0.1</v>
      </c>
      <c r="G33" s="4" t="s">
        <v>12</v>
      </c>
      <c r="H33" s="7" t="s">
        <v>85</v>
      </c>
    </row>
    <row r="34" customFormat="false" ht="15" hidden="false" customHeight="false" outlineLevel="0" collapsed="false">
      <c r="A34" s="4" t="s">
        <v>86</v>
      </c>
      <c r="B34" s="4" t="s">
        <v>75</v>
      </c>
      <c r="C34" s="4" t="n">
        <v>3</v>
      </c>
      <c r="D34" s="5" t="n">
        <v>317</v>
      </c>
      <c r="E34" s="5" t="n">
        <v>285.3</v>
      </c>
      <c r="F34" s="6" t="n">
        <f aca="false">IF(D34=0,"",1-E34/D34)</f>
        <v>0.1</v>
      </c>
      <c r="G34" s="4" t="s">
        <v>12</v>
      </c>
      <c r="H34" s="7" t="s">
        <v>87</v>
      </c>
    </row>
    <row r="35" customFormat="false" ht="15" hidden="false" customHeight="false" outlineLevel="0" collapsed="false">
      <c r="A35" s="4" t="s">
        <v>88</v>
      </c>
      <c r="B35" s="4" t="s">
        <v>89</v>
      </c>
      <c r="C35" s="4" t="n">
        <v>3</v>
      </c>
      <c r="D35" s="5" t="n">
        <v>297</v>
      </c>
      <c r="E35" s="5" t="n">
        <v>267.3</v>
      </c>
      <c r="F35" s="6" t="n">
        <f aca="false">IF(D35=0,"",1-E35/D35)</f>
        <v>0.1</v>
      </c>
      <c r="G35" s="4" t="s">
        <v>12</v>
      </c>
      <c r="H35" s="7" t="s">
        <v>90</v>
      </c>
    </row>
    <row r="36" customFormat="false" ht="15" hidden="false" customHeight="false" outlineLevel="0" collapsed="false">
      <c r="A36" s="4" t="s">
        <v>91</v>
      </c>
      <c r="B36" s="4" t="s">
        <v>28</v>
      </c>
      <c r="C36" s="4" t="n">
        <v>3</v>
      </c>
      <c r="D36" s="5" t="n">
        <v>297</v>
      </c>
      <c r="E36" s="5" t="n">
        <v>267.3</v>
      </c>
      <c r="F36" s="6" t="n">
        <f aca="false">IF(D36=0,"",1-E36/D36)</f>
        <v>0.1</v>
      </c>
      <c r="G36" s="4" t="s">
        <v>12</v>
      </c>
      <c r="H36" s="7" t="s">
        <v>92</v>
      </c>
    </row>
    <row r="37" customFormat="false" ht="15" hidden="false" customHeight="false" outlineLevel="0" collapsed="false">
      <c r="A37" s="4" t="s">
        <v>93</v>
      </c>
      <c r="B37" s="4" t="s">
        <v>94</v>
      </c>
      <c r="C37" s="4" t="n">
        <v>5</v>
      </c>
      <c r="D37" s="5" t="n">
        <v>244.98</v>
      </c>
      <c r="E37" s="5" t="n">
        <v>220.48</v>
      </c>
      <c r="F37" s="6" t="n">
        <f aca="false">IF(D37=0,"",1-E37/D37)</f>
        <v>0.10000816393175</v>
      </c>
      <c r="G37" s="4" t="s">
        <v>12</v>
      </c>
      <c r="H37" s="7" t="s">
        <v>95</v>
      </c>
    </row>
    <row r="38" customFormat="false" ht="15" hidden="false" customHeight="false" outlineLevel="0" collapsed="false">
      <c r="A38" s="4" t="s">
        <v>96</v>
      </c>
      <c r="B38" s="4" t="s">
        <v>97</v>
      </c>
      <c r="C38" s="4" t="n">
        <v>4</v>
      </c>
      <c r="D38" s="5" t="n">
        <v>236</v>
      </c>
      <c r="E38" s="5" t="n">
        <v>212.4</v>
      </c>
      <c r="F38" s="6" t="n">
        <f aca="false">IF(D38=0,"",1-E38/D38)</f>
        <v>0.1</v>
      </c>
      <c r="G38" s="4" t="s">
        <v>12</v>
      </c>
      <c r="H38" s="7" t="s">
        <v>98</v>
      </c>
    </row>
    <row r="39" customFormat="false" ht="15" hidden="false" customHeight="false" outlineLevel="0" collapsed="false">
      <c r="A39" s="4" t="s">
        <v>99</v>
      </c>
      <c r="B39" s="4" t="s">
        <v>100</v>
      </c>
      <c r="C39" s="4" t="n">
        <v>4</v>
      </c>
      <c r="D39" s="5" t="n">
        <v>200</v>
      </c>
      <c r="E39" s="5" t="n">
        <v>180</v>
      </c>
      <c r="F39" s="6" t="n">
        <f aca="false">IF(D39=0,"",1-E39/D39)</f>
        <v>0.1</v>
      </c>
      <c r="G39" s="4" t="s">
        <v>12</v>
      </c>
      <c r="H39" s="7" t="s">
        <v>101</v>
      </c>
    </row>
    <row r="40" customFormat="false" ht="15" hidden="false" customHeight="false" outlineLevel="0" collapsed="false">
      <c r="A40" s="4" t="s">
        <v>102</v>
      </c>
      <c r="B40" s="4" t="s">
        <v>94</v>
      </c>
      <c r="C40" s="4" t="n">
        <v>5</v>
      </c>
      <c r="D40" s="5" t="n">
        <v>195</v>
      </c>
      <c r="E40" s="5" t="n">
        <v>175.5</v>
      </c>
      <c r="F40" s="6" t="n">
        <f aca="false">IF(D40=0,"",1-E40/D40)</f>
        <v>0.1</v>
      </c>
      <c r="G40" s="4" t="s">
        <v>12</v>
      </c>
      <c r="H40" s="7" t="s">
        <v>103</v>
      </c>
    </row>
    <row r="41" customFormat="false" ht="15" hidden="false" customHeight="false" outlineLevel="0" collapsed="false">
      <c r="A41" s="4" t="s">
        <v>104</v>
      </c>
      <c r="B41" s="4" t="s">
        <v>105</v>
      </c>
      <c r="C41" s="4" t="n">
        <v>3</v>
      </c>
      <c r="D41" s="5" t="n">
        <v>177</v>
      </c>
      <c r="E41" s="5" t="n">
        <v>159.3</v>
      </c>
      <c r="F41" s="6" t="n">
        <f aca="false">IF(D41=0,"",1-E41/D41)</f>
        <v>0.1</v>
      </c>
      <c r="G41" s="4" t="s">
        <v>12</v>
      </c>
      <c r="H41" s="7" t="s">
        <v>106</v>
      </c>
    </row>
    <row r="42" customFormat="false" ht="15" hidden="false" customHeight="false" outlineLevel="0" collapsed="false">
      <c r="A42" s="4" t="s">
        <v>107</v>
      </c>
      <c r="B42" s="4" t="s">
        <v>105</v>
      </c>
      <c r="C42" s="4" t="n">
        <v>3</v>
      </c>
      <c r="D42" s="5" t="n">
        <v>177</v>
      </c>
      <c r="E42" s="5" t="n">
        <v>159.3</v>
      </c>
      <c r="F42" s="6" t="n">
        <f aca="false">IF(D42=0,"",1-E42/D42)</f>
        <v>0.1</v>
      </c>
      <c r="G42" s="4" t="s">
        <v>12</v>
      </c>
      <c r="H42" s="7" t="s">
        <v>108</v>
      </c>
    </row>
    <row r="43" customFormat="false" ht="15" hidden="false" customHeight="false" outlineLevel="0" collapsed="false">
      <c r="A43" s="4" t="s">
        <v>109</v>
      </c>
      <c r="B43" s="4" t="s">
        <v>110</v>
      </c>
      <c r="C43" s="4" t="n">
        <v>8</v>
      </c>
      <c r="D43" s="5" t="n">
        <v>172</v>
      </c>
      <c r="E43" s="5" t="n">
        <v>154.8</v>
      </c>
      <c r="F43" s="6" t="n">
        <f aca="false">IF(D43=0,"",1-E43/D43)</f>
        <v>0.1</v>
      </c>
      <c r="G43" s="4" t="s">
        <v>12</v>
      </c>
      <c r="H43" s="7" t="s">
        <v>111</v>
      </c>
    </row>
    <row r="44" customFormat="false" ht="15" hidden="false" customHeight="false" outlineLevel="0" collapsed="false">
      <c r="A44" s="4" t="s">
        <v>112</v>
      </c>
      <c r="B44" s="4" t="s">
        <v>113</v>
      </c>
      <c r="C44" s="4" t="n">
        <v>2</v>
      </c>
      <c r="D44" s="5" t="n">
        <v>164</v>
      </c>
      <c r="E44" s="5" t="n">
        <v>147.6</v>
      </c>
      <c r="F44" s="6" t="n">
        <f aca="false">IF(D44=0,"",1-E44/D44)</f>
        <v>0.1</v>
      </c>
      <c r="G44" s="4" t="s">
        <v>12</v>
      </c>
      <c r="H44" s="7" t="s">
        <v>114</v>
      </c>
    </row>
    <row r="45" customFormat="false" ht="15" hidden="false" customHeight="false" outlineLevel="0" collapsed="false">
      <c r="A45" s="4" t="s">
        <v>115</v>
      </c>
      <c r="B45" s="4" t="s">
        <v>100</v>
      </c>
      <c r="C45" s="4" t="n">
        <v>3</v>
      </c>
      <c r="D45" s="5" t="n">
        <v>150</v>
      </c>
      <c r="E45" s="5" t="n">
        <v>135</v>
      </c>
      <c r="F45" s="6" t="n">
        <f aca="false">IF(D45=0,"",1-E45/D45)</f>
        <v>0.1</v>
      </c>
      <c r="G45" s="4" t="s">
        <v>12</v>
      </c>
      <c r="H45" s="7" t="s">
        <v>116</v>
      </c>
    </row>
    <row r="46" customFormat="false" ht="15" hidden="false" customHeight="false" outlineLevel="0" collapsed="false">
      <c r="A46" s="4" t="s">
        <v>117</v>
      </c>
      <c r="B46" s="4" t="s">
        <v>118</v>
      </c>
      <c r="C46" s="4" t="n">
        <v>3</v>
      </c>
      <c r="D46" s="5" t="n">
        <v>117</v>
      </c>
      <c r="E46" s="5" t="n">
        <v>105.3</v>
      </c>
      <c r="F46" s="6" t="n">
        <f aca="false">IF(D46=0,"",1-E46/D46)</f>
        <v>0.1</v>
      </c>
      <c r="G46" s="4" t="s">
        <v>12</v>
      </c>
      <c r="H46" s="7" t="s">
        <v>119</v>
      </c>
    </row>
    <row r="47" customFormat="false" ht="15" hidden="false" customHeight="false" outlineLevel="0" collapsed="false">
      <c r="A47" s="4" t="s">
        <v>120</v>
      </c>
      <c r="B47" s="4" t="s">
        <v>121</v>
      </c>
      <c r="C47" s="4" t="n">
        <v>3</v>
      </c>
      <c r="D47" s="5" t="n">
        <v>117</v>
      </c>
      <c r="E47" s="5" t="n">
        <v>105.3</v>
      </c>
      <c r="F47" s="6" t="n">
        <f aca="false">IF(D47=0,"",1-E47/D47)</f>
        <v>0.1</v>
      </c>
      <c r="G47" s="4" t="s">
        <v>12</v>
      </c>
      <c r="H47" s="7" t="s">
        <v>122</v>
      </c>
    </row>
    <row r="48" customFormat="false" ht="15" hidden="false" customHeight="false" outlineLevel="0" collapsed="false">
      <c r="A48" s="4" t="s">
        <v>123</v>
      </c>
      <c r="B48" s="4" t="s">
        <v>100</v>
      </c>
      <c r="C48" s="4" t="n">
        <v>3</v>
      </c>
      <c r="D48" s="5" t="n">
        <v>99</v>
      </c>
      <c r="E48" s="5" t="n">
        <v>99</v>
      </c>
      <c r="F48" s="6" t="n">
        <f aca="false">IF(D48=0,"",1-E48/D48)</f>
        <v>0</v>
      </c>
      <c r="G48" s="4" t="s">
        <v>16</v>
      </c>
      <c r="H48" s="7" t="s">
        <v>124</v>
      </c>
    </row>
    <row r="49" customFormat="false" ht="15" hidden="false" customHeight="false" outlineLevel="0" collapsed="false">
      <c r="A49" s="4" t="s">
        <v>125</v>
      </c>
      <c r="B49" s="4" t="s">
        <v>118</v>
      </c>
      <c r="C49" s="4" t="n">
        <v>2</v>
      </c>
      <c r="D49" s="5" t="n">
        <v>98</v>
      </c>
      <c r="E49" s="5" t="n">
        <v>88.2</v>
      </c>
      <c r="F49" s="6" t="n">
        <f aca="false">IF(D49=0,"",1-E49/D49)</f>
        <v>0.1</v>
      </c>
      <c r="G49" s="4" t="s">
        <v>12</v>
      </c>
      <c r="H49" s="7" t="s">
        <v>126</v>
      </c>
    </row>
    <row r="50" customFormat="false" ht="15" hidden="false" customHeight="false" outlineLevel="0" collapsed="false">
      <c r="A50" s="4" t="s">
        <v>127</v>
      </c>
      <c r="B50" s="4" t="s">
        <v>128</v>
      </c>
      <c r="C50" s="4" t="n">
        <v>3</v>
      </c>
      <c r="D50" s="5" t="n">
        <v>87</v>
      </c>
      <c r="E50" s="5" t="n">
        <v>78.3</v>
      </c>
      <c r="F50" s="6" t="n">
        <f aca="false">IF(D50=0,"",1-E50/D50)</f>
        <v>0.1</v>
      </c>
      <c r="G50" s="4" t="s">
        <v>12</v>
      </c>
      <c r="H50" s="7" t="s">
        <v>129</v>
      </c>
    </row>
    <row r="51" customFormat="false" ht="15" hidden="false" customHeight="false" outlineLevel="0" collapsed="false">
      <c r="A51" s="4" t="s">
        <v>130</v>
      </c>
      <c r="B51" s="4" t="s">
        <v>128</v>
      </c>
      <c r="C51" s="4" t="n">
        <v>3</v>
      </c>
      <c r="D51" s="5" t="n">
        <v>87</v>
      </c>
      <c r="E51" s="5" t="n">
        <v>78.3</v>
      </c>
      <c r="F51" s="6" t="n">
        <f aca="false">IF(D51=0,"",1-E51/D51)</f>
        <v>0.1</v>
      </c>
      <c r="G51" s="4" t="s">
        <v>12</v>
      </c>
      <c r="H51" s="7" t="s">
        <v>131</v>
      </c>
    </row>
    <row r="52" customFormat="false" ht="15" hidden="false" customHeight="false" outlineLevel="0" collapsed="false">
      <c r="A52" s="4" t="s">
        <v>132</v>
      </c>
      <c r="B52" s="4" t="s">
        <v>110</v>
      </c>
      <c r="C52" s="4" t="n">
        <v>4</v>
      </c>
      <c r="D52" s="5" t="n">
        <v>76</v>
      </c>
      <c r="E52" s="5" t="n">
        <v>68.4</v>
      </c>
      <c r="F52" s="6" t="n">
        <f aca="false">IF(D52=0,"",1-E52/D52)</f>
        <v>0.1</v>
      </c>
      <c r="G52" s="4" t="s">
        <v>12</v>
      </c>
      <c r="H52" s="7" t="s">
        <v>133</v>
      </c>
    </row>
    <row r="53" customFormat="false" ht="15" hidden="false" customHeight="false" outlineLevel="0" collapsed="false">
      <c r="A53" s="4" t="s">
        <v>134</v>
      </c>
      <c r="B53" s="4" t="s">
        <v>128</v>
      </c>
      <c r="C53" s="4" t="n">
        <v>2</v>
      </c>
      <c r="D53" s="5" t="n">
        <v>58</v>
      </c>
      <c r="E53" s="5" t="n">
        <v>52.2</v>
      </c>
      <c r="F53" s="6" t="n">
        <f aca="false">IF(D53=0,"",1-E53/D53)</f>
        <v>0.1</v>
      </c>
      <c r="G53" s="4" t="s">
        <v>12</v>
      </c>
      <c r="H53" s="7" t="s">
        <v>135</v>
      </c>
    </row>
    <row r="54" customFormat="false" ht="15" hidden="false" customHeight="false" outlineLevel="0" collapsed="false">
      <c r="A54" s="4" t="s">
        <v>136</v>
      </c>
      <c r="B54" s="4" t="s">
        <v>128</v>
      </c>
      <c r="C54" s="4" t="n">
        <v>2</v>
      </c>
      <c r="D54" s="5" t="n">
        <v>58</v>
      </c>
      <c r="E54" s="5" t="n">
        <v>52.2</v>
      </c>
      <c r="F54" s="6" t="n">
        <f aca="false">IF(D54=0,"",1-E54/D54)</f>
        <v>0.1</v>
      </c>
      <c r="G54" s="4" t="s">
        <v>12</v>
      </c>
      <c r="H54" s="7" t="s">
        <v>137</v>
      </c>
    </row>
    <row r="55" customFormat="false" ht="15" hidden="false" customHeight="false" outlineLevel="0" collapsed="false">
      <c r="A55" s="4" t="s">
        <v>138</v>
      </c>
      <c r="B55" s="4" t="s">
        <v>110</v>
      </c>
      <c r="C55" s="4" t="n">
        <v>3</v>
      </c>
      <c r="D55" s="5" t="n">
        <v>57</v>
      </c>
      <c r="E55" s="5" t="n">
        <v>51.3</v>
      </c>
      <c r="F55" s="6" t="n">
        <f aca="false">IF(D55=0,"",1-E55/D55)</f>
        <v>0.1</v>
      </c>
      <c r="G55" s="4" t="s">
        <v>12</v>
      </c>
      <c r="H55" s="7" t="s">
        <v>139</v>
      </c>
    </row>
    <row r="56" customFormat="false" ht="15" hidden="false" customHeight="false" outlineLevel="0" collapsed="false">
      <c r="A56" s="4" t="s">
        <v>140</v>
      </c>
      <c r="B56" s="4" t="s">
        <v>128</v>
      </c>
      <c r="C56" s="4" t="n">
        <v>2</v>
      </c>
      <c r="D56" s="5" t="n">
        <v>48</v>
      </c>
      <c r="E56" s="5" t="n">
        <v>43.2</v>
      </c>
      <c r="F56" s="6" t="n">
        <f aca="false">IF(D56=0,"",1-E56/D56)</f>
        <v>0.1</v>
      </c>
      <c r="G56" s="4" t="s">
        <v>12</v>
      </c>
      <c r="H56" s="7" t="s">
        <v>141</v>
      </c>
    </row>
    <row r="58" customFormat="false" ht="15" hidden="false" customHeight="false" outlineLevel="0" collapsed="false">
      <c r="A58" s="8" t="s">
        <v>142</v>
      </c>
    </row>
    <row r="59" customFormat="false" ht="15" hidden="false" customHeight="false" outlineLevel="0" collapsed="false">
      <c r="A59" s="9" t="s">
        <v>143</v>
      </c>
      <c r="B59" s="10" t="n">
        <f aca="false">COUNTA(A5:A56)</f>
        <v>52</v>
      </c>
    </row>
    <row r="60" customFormat="false" ht="15" hidden="false" customHeight="false" outlineLevel="0" collapsed="false">
      <c r="A60" s="9" t="s">
        <v>144</v>
      </c>
      <c r="B60" s="11" t="n">
        <f aca="false">MIN(E5:E56)</f>
        <v>43.2</v>
      </c>
    </row>
    <row r="61" customFormat="false" ht="15" hidden="false" customHeight="false" outlineLevel="0" collapsed="false">
      <c r="A61" s="9" t="s">
        <v>145</v>
      </c>
      <c r="B61" s="11" t="n">
        <f aca="false">QUARTILE(E5:E56,1)</f>
        <v>153</v>
      </c>
    </row>
    <row r="62" customFormat="false" ht="15" hidden="false" customHeight="false" outlineLevel="0" collapsed="false">
      <c r="A62" s="9" t="s">
        <v>146</v>
      </c>
      <c r="B62" s="11" t="n">
        <f aca="false">MEDIAN(E5:E56)</f>
        <v>334.8</v>
      </c>
    </row>
    <row r="63" customFormat="false" ht="15" hidden="false" customHeight="false" outlineLevel="0" collapsed="false">
      <c r="A63" s="9" t="s">
        <v>147</v>
      </c>
      <c r="B63" s="11" t="n">
        <f aca="false">QUARTILE(E5:E56,3)</f>
        <v>524.775</v>
      </c>
    </row>
    <row r="64" customFormat="false" ht="15" hidden="false" customHeight="false" outlineLevel="0" collapsed="false">
      <c r="A64" s="9" t="s">
        <v>148</v>
      </c>
      <c r="B64" s="11" t="n">
        <f aca="false">MAX(E5:E56)</f>
        <v>1344.6</v>
      </c>
    </row>
    <row r="65" customFormat="false" ht="15" hidden="false" customHeight="false" outlineLevel="0" collapsed="false">
      <c r="A65" s="9" t="s">
        <v>149</v>
      </c>
      <c r="B65" s="12" t="n">
        <f aca="false">AVERAGE(F5:F56)</f>
        <v>0.103846310844841</v>
      </c>
    </row>
    <row r="67" customFormat="false" ht="15" hidden="false" customHeight="false" outlineLevel="0" collapsed="false">
      <c r="A67" s="2" t="s">
        <v>150</v>
      </c>
    </row>
  </sheetData>
  <hyperlinks>
    <hyperlink ref="H5" r:id="rId1" display="https://www.edx.org/xseries/babson-college-business-principles-entrepreneurial-thought"/>
    <hyperlink ref="H6" r:id="rId2" display="https://www.edx.org/xseries/the-university-of-queensland-introduction-developmental-social"/>
    <hyperlink ref="H7" r:id="rId3" display="https://www.edx.org/xseries/stanfordonline-healthcare-risk-management-planning-response-and-recovery"/>
    <hyperlink ref="H8" r:id="rId4" display="https://www.edx.org/xseries/stanford-online-health-communication-strategies-for-impact-and-success"/>
    <hyperlink ref="H9" r:id="rId5" display="https://www.edx.org/xseries/stanfordonline-preventing-heart-disease"/>
    <hyperlink ref="H10" r:id="rId6" display="https://www.edx.org/xseries/stanfordonline-telehealth-strategy-implementation-and-optimization"/>
    <hyperlink ref="H11" r:id="rId7" display="https://www.edx.org/xseries/harvard-university-china-modern-world"/>
    <hyperlink ref="H12" r:id="rId8" display="https://www.edx.org/xseries/harvard-university-china-civilization-empire"/>
    <hyperlink ref="H13" r:id="rId9" display="https://www.edx.org/xseries/iitbombay-fundamentals-computer-science"/>
    <hyperlink ref="H14" r:id="rId10" display="https://www.edx.org/xseries/curtinx-from-digital-technologies-to-social-media"/>
    <hyperlink ref="H15" r:id="rId11" display="https://www.edx.org/xseries/harvardx-shakespeares-life-work-and-characters"/>
    <hyperlink ref="H16" r:id="rId12" display="https://www.edx.org/xseries/harvardx-us-government"/>
    <hyperlink ref="H17" r:id="rId13" display="https://www.edx.org/xseries/adelaidex-mathtrackx"/>
    <hyperlink ref="H18" r:id="rId14" display="https://www.edx.org/xseries/harvardx-world-religions-through-scriptures"/>
    <hyperlink ref="H19" r:id="rId15" display="https://www.edx.org/xseries/mitx-circuits-and-electronics"/>
    <hyperlink ref="H20" r:id="rId16" display="https://www.edx.org/xseries/alaskax-resilient-energy-systems-for-sustainable-communities"/>
    <hyperlink ref="H21" r:id="rId17" display="https://www.edx.org/xseries/stanfordonline-diversity-equity-and-inclusion-in-healthcare"/>
    <hyperlink ref="H22" r:id="rId18" display="https://www.edx.org/xseries/utokyox-four-facets-of-contemporary-japanese-architecture"/>
    <hyperlink ref="H23" r:id="rId19" display="https://www.edx.org/xseries/lasallex-introduction-to-level-design"/>
    <hyperlink ref="H24" r:id="rId20" display="https://www.edx.org/xseries/delft-university-of-technology-water-management"/>
    <hyperlink ref="H25" r:id="rId21" display="https://www.edx.org/xseries/google-power-searching-with-google"/>
    <hyperlink ref="H26" r:id="rId22" display="https://www.edx.org/xseries/the-university-of-queensland-intellectual-disability-healthcare"/>
    <hyperlink ref="H27" r:id="rId23" display="https://www.edx.org/xseries/harvardx-classical-works"/>
    <hyperlink ref="H28" r:id="rId24" display="https://www.edx.org/xseries/lasallex-introduction-to-game-design"/>
    <hyperlink ref="H29" r:id="rId25" display="https://www.edx.org/xseries/wasedax-steps-in-japanese-for-beginners-3"/>
    <hyperlink ref="H30" r:id="rId26" display="https://www.edx.org/xseries/wasedax-steps-in-japanese-for-beginners-2"/>
    <hyperlink ref="H31" r:id="rId27" display="https://www.edx.org/xseries/aws-starting-your-career-with-aws-cloud"/>
    <hyperlink ref="H32" r:id="rId28" display="https://www.edx.org/xseries/aws-building-serverless-applications-on-aws"/>
    <hyperlink ref="H33" r:id="rId29" display="https://www.edx.org/xseries/stanfordonline-introduction-to-sql-databases"/>
    <hyperlink ref="H34" r:id="rId30" display="https://www.edx.org/xseries/wasedax-steps-in-japanese-for-beginners-1"/>
    <hyperlink ref="H35" r:id="rId31" display="https://www.edx.org/xseries/hkpolyux-chinese-culture-tradition-transformation-and-interaction"/>
    <hyperlink ref="H36" r:id="rId32" display="https://www.edx.org/xseries/harvardx-prediction"/>
    <hyperlink ref="H37" r:id="rId33" display="https://www.edx.org/xseries/federicax-introduction-to-political-science"/>
    <hyperlink ref="H38" r:id="rId34" display="https://www.edx.org/xseries/michiganx-django-for-everybody"/>
    <hyperlink ref="H39" r:id="rId35" display="https://www.edx.org/xseries/columbiax-women-have-always-worked"/>
    <hyperlink ref="H40" r:id="rId36" display="https://www.edx.org/xseries/federicax-introduccion-a-la-ciencia-politica-ipsamooc"/>
    <hyperlink ref="H41" r:id="rId37" display="https://www.edx.org/xseries/berkleex-grabacion-produccion-musical"/>
    <hyperlink ref="H42" r:id="rId38" display="https://www.edx.org/xseries/berkleex-berklee-music-business-industry-essentials"/>
    <hyperlink ref="H43" r:id="rId39" display="https://www.edx.org/xseries/upvalenciax-fundamentos-de-qu%C3%ADmica"/>
    <hyperlink ref="H44" r:id="rId40" display="https://www.edx.org/xseries/javerianax-genero-una-mirada-participativa-en-entornos-ecologicos-y-en-la-vida-digital"/>
    <hyperlink ref="H45" r:id="rId41" display="https://www.edx.org/xseries/columbia-university-civil-war-reconstruction"/>
    <hyperlink ref="H46" r:id="rId42" display="https://www.edx.org/xseries/urosariox-historias-de-la-creatividad-en-el-sur-global-arte-arquitectura-y-diseno"/>
    <hyperlink ref="H47" r:id="rId43" display="https://www.edx.org/xseries/galileox-de-la-aritmetica-al-algebra-elemental"/>
    <hyperlink ref="H48" r:id="rId44" display="https://www.edx.org/xseries/columbiax-veteran-transition"/>
    <hyperlink ref="H49" r:id="rId45" display="https://www.edx.org/xseries/urosariox-diseno-de-prototipos-digitales-para-proyectos-sociales"/>
    <hyperlink ref="H50" r:id="rId46" display="https://www.edx.org/xseries/uamx-lectura-de-imagenes-historicas"/>
    <hyperlink ref="H51" r:id="rId47" display="https://www.edx.org/xseries/uamx-griego-clasico"/>
    <hyperlink ref="H52" r:id="rId48" display="https://www.edx.org/xseries/universitat-politecnica-de-valencia-bases-matematicas-para-estudiar"/>
    <hyperlink ref="H53" r:id="rId49" display="https://www.edx.org/xseries/uamx-fundamentos-de-quimica-organica"/>
    <hyperlink ref="H54" r:id="rId50" display="https://www.edx.org/xseries/uamx-pedagogias-radicales-emergentes-sobre-la-vida"/>
    <hyperlink ref="H55" r:id="rId51" display="https://www.edx.org/xseries/upvalenciax-fundamentos-de-fisica-para-ingenieria"/>
    <hyperlink ref="H56" r:id="rId52" display="https://www.edx.org/xseries/uamx-la-espana-del-siglo-de-oro-a-traves-de-cervant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2026-08-12T18:26:30Z</dcterms:created>
  <dc:creator>openpyxl</dc:creator>
  <dc:description/>
  <dc:language>en-US</dc:language>
  <cp:lastModifiedBy/>
  <dcterms:modified xsi:type="dcterms:W3CDTF">2026-08-12T18:26:30Z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